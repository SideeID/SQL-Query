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mas Fajar\Documents\jokiDBMS\"/>
    </mc:Choice>
  </mc:AlternateContent>
  <xr:revisionPtr revIDLastSave="0" documentId="13_ncr:1_{E4B3070C-0821-4E26-99E6-B27E9B1DCA24}" xr6:coauthVersionLast="47" xr6:coauthVersionMax="47" xr10:uidLastSave="{00000000-0000-0000-0000-000000000000}"/>
  <bookViews>
    <workbookView xWindow="-110" yWindow="-110" windowWidth="19420" windowHeight="11020" activeTab="2" xr2:uid="{ECC20F89-FBB2-42AC-B4C0-2163839FF34C}"/>
  </bookViews>
  <sheets>
    <sheet name="Pivot_Category" sheetId="7" r:id="rId1"/>
    <sheet name="Pivot_Monthly" sheetId="8" r:id="rId2"/>
    <sheet name="Pivot_Top10" sheetId="9" r:id="rId3"/>
    <sheet name="data_sales" sheetId="3" r:id="rId4"/>
  </sheets>
  <definedNames>
    <definedName name="ExternalData_1" localSheetId="3" hidden="1">data_sales!$A$1:$K$31</definedName>
  </definedNames>
  <calcPr calcId="191029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2DBB93-14CF-4CAE-9971-5E2FD5B60E93}" keepAlive="1" name="Query - data_sales" description="Connection to the 'data_sales' query in the workbook." type="5" refreshedVersion="8" background="1" saveData="1">
    <dbPr connection="Provider=Microsoft.Mashup.OleDb.1;Data Source=$Workbook$;Location=data_sales;Extended Properties=&quot;&quot;" command="SELECT * FROM [data_sales]"/>
  </connection>
  <connection id="2" xr16:uid="{A2466383-80BE-45B0-8E9B-7D96238BA288}" keepAlive="1" name="Query - data_sales (2)" description="Connection to the 'data_sales (2)' query in the workbook." type="5" refreshedVersion="8" background="1" saveData="1">
    <dbPr connection="Provider=Microsoft.Mashup.OleDb.1;Data Source=$Workbook$;Location=&quot;data_sales (2)&quot;;Extended Properties=&quot;&quot;" command="SELECT * FROM [data_sales (2)]"/>
  </connection>
</connections>
</file>

<file path=xl/sharedStrings.xml><?xml version="1.0" encoding="utf-8"?>
<sst xmlns="http://schemas.openxmlformats.org/spreadsheetml/2006/main" count="134" uniqueCount="50">
  <si>
    <t>Sale_Id</t>
  </si>
  <si>
    <t>Sale_Date</t>
  </si>
  <si>
    <t>Weekday</t>
  </si>
  <si>
    <t>Month_Name</t>
  </si>
  <si>
    <t>Product_Id</t>
  </si>
  <si>
    <t>Product_Name</t>
  </si>
  <si>
    <t>Category_Name</t>
  </si>
  <si>
    <t>Quantity_Sold</t>
  </si>
  <si>
    <t>Unit_Price</t>
  </si>
  <si>
    <t>Total_Amount</t>
  </si>
  <si>
    <t>Supplier_Name</t>
  </si>
  <si>
    <t>Beras Rojolele 5kg</t>
  </si>
  <si>
    <t>Sembako</t>
  </si>
  <si>
    <t>PT test1</t>
  </si>
  <si>
    <t>Indomie Goreng</t>
  </si>
  <si>
    <t>Mie Instan</t>
  </si>
  <si>
    <t>PT test5</t>
  </si>
  <si>
    <t>Aqua Botol 600ml</t>
  </si>
  <si>
    <t>Minuman</t>
  </si>
  <si>
    <t>PT test3</t>
  </si>
  <si>
    <t>Teh Pucuk Harum 350ml</t>
  </si>
  <si>
    <t>Beng-Beng Coklat</t>
  </si>
  <si>
    <t>Snack &amp; Makanan Ringan</t>
  </si>
  <si>
    <t>PT test4</t>
  </si>
  <si>
    <t>Minyak Goreng Bimoli 2L</t>
  </si>
  <si>
    <t>Tango Wafer Coklat</t>
  </si>
  <si>
    <t>Rinso Molto 900g</t>
  </si>
  <si>
    <t>Sabun &amp; Deterjen</t>
  </si>
  <si>
    <t>Gula Pasir Gulaku 1kg</t>
  </si>
  <si>
    <t>Susu Ultra Milk 1L</t>
  </si>
  <si>
    <t>Susu &amp; Dairy</t>
  </si>
  <si>
    <t>Mie Sedaap Goreng</t>
  </si>
  <si>
    <t>PT test2</t>
  </si>
  <si>
    <t>Coca Cola 390ml</t>
  </si>
  <si>
    <t>Sabun Lifebuoy 85g</t>
  </si>
  <si>
    <t>Royco Ayam 100g</t>
  </si>
  <si>
    <t>Bumbu &amp; Penyedap</t>
  </si>
  <si>
    <t>Chitato Sapi Panggang 68g</t>
  </si>
  <si>
    <t>Shampo Clear Sachet</t>
  </si>
  <si>
    <t>Perawatan Pribadi</t>
  </si>
  <si>
    <t>Supermie Ayam Bawang</t>
  </si>
  <si>
    <t>Pasta Gigi Pepsodent 190g</t>
  </si>
  <si>
    <t>Row Labels</t>
  </si>
  <si>
    <t>Grand Total</t>
  </si>
  <si>
    <t>Sum of Total_Amount</t>
  </si>
  <si>
    <t>Percentage</t>
  </si>
  <si>
    <t>September</t>
  </si>
  <si>
    <t>October</t>
  </si>
  <si>
    <t>November</t>
  </si>
  <si>
    <t>Sum of Quantity_Sold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</si>
</sst>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.00_-;\-[$Rp-421]* #,##0.00_-;_-[$Rp-421]* &quot;-&quot;??_-;_-@_-"/>
    <numFmt numFmtId="166" formatCode="_-[$Rp-421]* #,##0_-;\-[$Rp-421]* #,##0_-;_-[$Rp-421]* &quot;-&quot;_-;_-@_-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164" formatCode="_-[$Rp-421]* #,##0.00_-;\-[$Rp-421]* #,##0.00_-;_-[$Rp-421]* &quot;-&quot;??_-;_-@_-"/>
    </dxf>
    <dxf>
      <numFmt numFmtId="164" formatCode="_-[$Rp-421]* #,##0.00_-;\-[$Rp-421]* #,##0.00_-;_-[$Rp-421]* &quot;-&quot;??_-;_-@_-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[data_sales.xlsx]Pivot_Category!PivotTable5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Pivot_Category!$B$3</c:f>
              <c:strCache>
                <c:ptCount val="1"/>
                <c:pt idx="0">
                  <c:v>Sum of Total_Amount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Pivot_Category!$A$4:$A$12</c:f>
              <c:strCache>
                <c:ptCount val="8"/>
                <c:pt idx="0">
                  <c:v>Susu &amp; Dairy</c:v>
                </c:pt>
                <c:pt idx="1">
                  <c:v>Snack &amp; Makanan Ringan</c:v>
                </c:pt>
                <c:pt idx="2">
                  <c:v>Sembako</c:v>
                </c:pt>
                <c:pt idx="3">
                  <c:v>Sabun &amp; Deterjen</c:v>
                </c:pt>
                <c:pt idx="4">
                  <c:v>Perawatan Pribadi</c:v>
                </c:pt>
                <c:pt idx="5">
                  <c:v>Minuman</c:v>
                </c:pt>
                <c:pt idx="6">
                  <c:v>Mie Instan</c:v>
                </c:pt>
                <c:pt idx="7">
                  <c:v>Bumbu &amp; Penyedap</c:v>
                </c:pt>
              </c:strCache>
            </c:strRef>
          </c:cat>
          <c:val>
            <c:numRef>
              <c:f>Pivot_Category!$B$4:$B$12</c:f>
              <c:numCache>
                <c:formatCode>_-[$Rp-421]* #,##0.00_-;\-[$Rp-421]* #,##0.00_-;_-[$Rp-421]* "-"??_-;_-@_-</c:formatCode>
                <c:ptCount val="8"/>
                <c:pt idx="0">
                  <c:v>252000</c:v>
                </c:pt>
                <c:pt idx="1">
                  <c:v>120000</c:v>
                </c:pt>
                <c:pt idx="2">
                  <c:v>844000</c:v>
                </c:pt>
                <c:pt idx="3">
                  <c:v>94500</c:v>
                </c:pt>
                <c:pt idx="4">
                  <c:v>126000</c:v>
                </c:pt>
                <c:pt idx="5">
                  <c:v>408000</c:v>
                </c:pt>
                <c:pt idx="6">
                  <c:v>265000</c:v>
                </c:pt>
                <c:pt idx="7">
                  <c:v>36000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7-45B9-A043-E8D9988DFE26}"/>
            </c:ext>
          </c:extLst>
        </c:ser>
        <c:ser>
          <c:idx val="1"/>
          <c:order val="1"/>
          <c:tx>
            <c:strRef>
              <c:f>Pivot_Category!$C$3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Pivot_Category!$A$4:$A$12</c:f>
              <c:strCache>
                <c:ptCount val="8"/>
                <c:pt idx="0">
                  <c:v>Susu &amp; Dairy</c:v>
                </c:pt>
                <c:pt idx="1">
                  <c:v>Snack &amp; Makanan Ringan</c:v>
                </c:pt>
                <c:pt idx="2">
                  <c:v>Sembako</c:v>
                </c:pt>
                <c:pt idx="3">
                  <c:v>Sabun &amp; Deterjen</c:v>
                </c:pt>
                <c:pt idx="4">
                  <c:v>Perawatan Pribadi</c:v>
                </c:pt>
                <c:pt idx="5">
                  <c:v>Minuman</c:v>
                </c:pt>
                <c:pt idx="6">
                  <c:v>Mie Instan</c:v>
                </c:pt>
                <c:pt idx="7">
                  <c:v>Bumbu &amp; Penyedap</c:v>
                </c:pt>
              </c:strCache>
            </c:strRef>
          </c:cat>
          <c:val>
            <c:numRef>
              <c:f>Pivot_Category!$C$4:$C$12</c:f>
              <c:numCache>
                <c:formatCode>0.00%</c:formatCode>
                <c:ptCount val="8"/>
                <c:pt idx="0">
                  <c:v>0.11745513866231648</c:v>
                </c:pt>
                <c:pt idx="1">
                  <c:v>5.5931018410626893E-2</c:v>
                </c:pt>
                <c:pt idx="2">
                  <c:v>0.39338149615474249</c:v>
                </c:pt>
                <c:pt idx="3">
                  <c:v>4.4045676998368678E-2</c:v>
                </c:pt>
                <c:pt idx="4">
                  <c:v>5.872756933115824E-2</c:v>
                </c:pt>
                <c:pt idx="5">
                  <c:v>0.19016546259613143</c:v>
                </c:pt>
                <c:pt idx="6">
                  <c:v>0.12351433232346773</c:v>
                </c:pt>
                <c:pt idx="7">
                  <c:v>1.6779305523188067E-2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7-45B9-A043-E8D9988DF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[data_sales.xlsx]Pivot_Monthly!PivotTable6</c:name>
    <c:fmtId val="3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Pivot_Monthly!$B$3</c:f>
              <c:strCache>
                <c:ptCount val="1"/>
                <c:pt idx="0">
                  <c:v>Sum of Total_Amount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Pivot_Monthly!$A$4:$A$7</c:f>
              <c:strCache>
                <c:ptCount val="3"/>
                <c:pt idx="0">
                  <c:v>September</c:v>
                </c:pt>
                <c:pt idx="1">
                  <c:v>October</c:v>
                </c:pt>
                <c:pt idx="2">
                  <c:v>November</c:v>
                </c:pt>
              </c:strCache>
            </c:strRef>
          </c:cat>
          <c:val>
            <c:numRef>
              <c:f>Pivot_Monthly!$B$4:$B$7</c:f>
              <c:numCache>
                <c:formatCode>_-[$Rp-421]* #,##0_-;\-[$Rp-421]* #,##0_-;_-[$Rp-421]* "-"_-;_-@_-</c:formatCode>
                <c:ptCount val="3"/>
                <c:pt idx="0">
                  <c:v>303500</c:v>
                </c:pt>
                <c:pt idx="1">
                  <c:v>687000</c:v>
                </c:pt>
                <c:pt idx="2">
                  <c:v>1155000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A26-8F3F-0A07F67D069D}"/>
            </c:ext>
          </c:extLst>
        </c:ser>
        <c:ser>
          <c:idx val="1"/>
          <c:order val="1"/>
          <c:tx>
            <c:strRef>
              <c:f>Pivot_Monthly!$C$3</c:f>
              <c:strCache>
                <c:ptCount val="1"/>
                <c:pt idx="0">
                  <c:v>Sum of Quantity_Sold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Pivot_Monthly!$A$4:$A$7</c:f>
              <c:strCache>
                <c:ptCount val="3"/>
                <c:pt idx="0">
                  <c:v>September</c:v>
                </c:pt>
                <c:pt idx="1">
                  <c:v>October</c:v>
                </c:pt>
                <c:pt idx="2">
                  <c:v>November</c:v>
                </c:pt>
              </c:strCache>
            </c:strRef>
          </c:cat>
          <c:val>
            <c:numRef>
              <c:f>Pivot_Monthly!$C$4:$C$7</c:f>
              <c:numCache>
                <c:formatCode>0</c:formatCode>
                <c:ptCount val="3"/>
                <c:pt idx="0">
                  <c:v>36</c:v>
                </c:pt>
                <c:pt idx="1">
                  <c:v>81</c:v>
                </c:pt>
                <c:pt idx="2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7E-4A26-8F3F-0A07F67D0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7475503"/>
        <c:axId val="1457474063"/>
      </c:lineChart>
      <c:catAx>
        <c:axId val="1457475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457474063"/>
        <c:crosses val="autoZero"/>
        <c:auto val="1"/>
        <c:lblAlgn val="ctr"/>
        <c:lblOffset val="100"/>
        <c:noMultiLvlLbl val="0"/>
      </c:catAx>
      <c:valAx>
        <c:axId val="145747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p-421]* #,##0_-;\-[$Rp-421]* #,##0_-;_-[$Rp-421]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457475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[data_sales.xlsx]Pivot_Top10!PivotTable7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Pivot_Top10!$B$3</c:f>
              <c:strCache>
                <c:ptCount val="1"/>
                <c:pt idx="0">
                  <c:v>Sum of Quantity_Sold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Pivot_Top10!$A$4:$A$14</c:f>
              <c:strCache>
                <c:ptCount val="10"/>
                <c:pt idx="0">
                  <c:v>Aqua Botol 600ml</c:v>
                </c:pt>
                <c:pt idx="1">
                  <c:v>Indomie Goreng</c:v>
                </c:pt>
                <c:pt idx="2">
                  <c:v>Teh Pucuk Harum 350ml</c:v>
                </c:pt>
                <c:pt idx="3">
                  <c:v>Beng-Beng Coklat</c:v>
                </c:pt>
                <c:pt idx="4">
                  <c:v>Shampo Clear Sachet</c:v>
                </c:pt>
                <c:pt idx="5">
                  <c:v>Mie Sedaap Goreng</c:v>
                </c:pt>
                <c:pt idx="6">
                  <c:v>Susu Ultra Milk 1L</c:v>
                </c:pt>
                <c:pt idx="7">
                  <c:v>Gula Pasir Gulaku 1kg</c:v>
                </c:pt>
                <c:pt idx="8">
                  <c:v>Tango Wafer Coklat</c:v>
                </c:pt>
                <c:pt idx="9">
                  <c:v>Beras Rojolele 5kg</c:v>
                </c:pt>
              </c:strCache>
            </c:strRef>
          </c:cat>
          <c:val>
            <c:numRef>
              <c:f>Pivot_Top10!$B$4:$B$14</c:f>
              <c:numCache>
                <c:formatCode>0</c:formatCode>
                <c:ptCount val="10"/>
                <c:pt idx="0">
                  <c:v>72</c:v>
                </c:pt>
                <c:pt idx="1">
                  <c:v>70</c:v>
                </c:pt>
                <c:pt idx="2">
                  <c:v>28</c:v>
                </c:pt>
                <c:pt idx="3">
                  <c:v>17</c:v>
                </c:pt>
                <c:pt idx="4">
                  <c:v>15</c:v>
                </c:pt>
                <c:pt idx="5">
                  <c:v>15</c:v>
                </c:pt>
                <c:pt idx="6">
                  <c:v>14</c:v>
                </c:pt>
                <c:pt idx="7">
                  <c:v>13</c:v>
                </c:pt>
                <c:pt idx="8">
                  <c:v>10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F2-4C5E-B2A6-F05C9C39F5E8}"/>
            </c:ext>
          </c:extLst>
        </c:ser>
        <c:ser>
          <c:idx val="1"/>
          <c:order val="1"/>
          <c:tx>
            <c:strRef>
              <c:f>Pivot_Top10!$C$3</c:f>
              <c:strCache>
                <c:ptCount val="1"/>
                <c:pt idx="0">
                  <c:v>Sum of Total_Amount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Pivot_Top10!$A$4:$A$14</c:f>
              <c:strCache>
                <c:ptCount val="10"/>
                <c:pt idx="0">
                  <c:v>Aqua Botol 600ml</c:v>
                </c:pt>
                <c:pt idx="1">
                  <c:v>Indomie Goreng</c:v>
                </c:pt>
                <c:pt idx="2">
                  <c:v>Teh Pucuk Harum 350ml</c:v>
                </c:pt>
                <c:pt idx="3">
                  <c:v>Beng-Beng Coklat</c:v>
                </c:pt>
                <c:pt idx="4">
                  <c:v>Shampo Clear Sachet</c:v>
                </c:pt>
                <c:pt idx="5">
                  <c:v>Mie Sedaap Goreng</c:v>
                </c:pt>
                <c:pt idx="6">
                  <c:v>Susu Ultra Milk 1L</c:v>
                </c:pt>
                <c:pt idx="7">
                  <c:v>Gula Pasir Gulaku 1kg</c:v>
                </c:pt>
                <c:pt idx="8">
                  <c:v>Tango Wafer Coklat</c:v>
                </c:pt>
                <c:pt idx="9">
                  <c:v>Beras Rojolele 5kg</c:v>
                </c:pt>
              </c:strCache>
            </c:strRef>
          </c:cat>
          <c:val>
            <c:numRef>
              <c:f>Pivot_Top10!$C$4:$C$14</c:f>
              <c:numCache>
                <c:formatCode>_-[$Rp-421]* #,##0_-;\-[$Rp-421]* #,##0_-;_-[$Rp-421]* "-"_-;_-@_-</c:formatCode>
                <c:ptCount val="10"/>
                <c:pt idx="0">
                  <c:v>252000</c:v>
                </c:pt>
                <c:pt idx="1">
                  <c:v>210000</c:v>
                </c:pt>
                <c:pt idx="2">
                  <c:v>112000</c:v>
                </c:pt>
                <c:pt idx="3">
                  <c:v>42500</c:v>
                </c:pt>
                <c:pt idx="4">
                  <c:v>30000</c:v>
                </c:pt>
                <c:pt idx="5">
                  <c:v>45000</c:v>
                </c:pt>
                <c:pt idx="6">
                  <c:v>252000</c:v>
                </c:pt>
                <c:pt idx="7">
                  <c:v>195000</c:v>
                </c:pt>
                <c:pt idx="8">
                  <c:v>25000</c:v>
                </c:pt>
                <c:pt idx="9">
                  <c:v>585000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F2-4C5E-B2A6-F05C9C39F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7490863"/>
        <c:axId val="1457482223"/>
      </c:barChart>
      <c:catAx>
        <c:axId val="14574908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457482223"/>
        <c:crosses val="autoZero"/>
        <c:auto val="1"/>
        <c:lblAlgn val="ctr"/>
        <c:lblOffset val="100"/>
        <c:noMultiLvlLbl val="0"/>
      </c:catAx>
      <c:valAx>
        <c:axId val="145748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45749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168275</xdr:rowOff>
    </xdr:from>
    <xdr:to>
      <xdr:col>4</xdr:col>
      <xdr:colOff>476250</xdr:colOff>
      <xdr:row>27</xdr:row>
      <xdr:rowOff>149225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34690-E2D1-0468-4821-D190B8E988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161925</xdr:rowOff>
    </xdr:from>
    <xdr:to>
      <xdr:col>4</xdr:col>
      <xdr:colOff>469900</xdr:colOff>
      <xdr:row>22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49773-3225-7EFF-4AF0-EB50F3C42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14</xdr:row>
      <xdr:rowOff>168275</xdr:rowOff>
    </xdr:from>
    <xdr:to>
      <xdr:col>3</xdr:col>
      <xdr:colOff>533400</xdr:colOff>
      <xdr:row>29</xdr:row>
      <xdr:rowOff>149225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AE818D-6AB9-ADA7-FFC7-AA10DD15A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as Fajar Katon Prayogo" refreshedDate="45980.599781249999" createdVersion="8" refreshedVersion="8" minRefreshableVersion="3" recordCount="30" xr:uid="{90C7223E-2BCE-4B46-8C12-679E84C2A80B}">
  <cacheSource type="worksheet">
    <worksheetSource name="data_sales__2"/>
  </cacheSource>
  <cacheFields count="11">
    <cacheField name="Sale_Id" numFmtId="0">
      <sharedItems containsSemiMixedTypes="0" containsString="0" containsNumber="1" containsInteger="1" minValue="1" maxValue="30"/>
    </cacheField>
    <cacheField name="Sale_Date" numFmtId="14">
      <sharedItems containsSemiMixedTypes="0" containsNonDate="0" containsDate="1" containsString="0" minDate="2025-09-02T00:00:00" maxDate="2025-11-17T00:00:00"/>
    </cacheField>
    <cacheField name="Weekday" numFmtId="0">
      <sharedItems/>
    </cacheField>
    <cacheField name="Month_Name" numFmtId="0">
      <sharedItems count="3">
        <s v="September"/>
        <s v="October"/>
        <s v="November"/>
      </sharedItems>
    </cacheField>
    <cacheField name="Product_Id" numFmtId="0">
      <sharedItems containsSemiMixedTypes="0" containsString="0" containsNumber="1" containsInteger="1" minValue="1" maxValue="30"/>
    </cacheField>
    <cacheField name="Product_Name" numFmtId="0">
      <sharedItems count="18">
        <s v="Beras Rojolele 5kg"/>
        <s v="Indomie Goreng"/>
        <s v="Aqua Botol 600ml"/>
        <s v="Teh Pucuk Harum 350ml"/>
        <s v="Beng-Beng Coklat"/>
        <s v="Minyak Goreng Bimoli 2L"/>
        <s v="Tango Wafer Coklat"/>
        <s v="Rinso Molto 900g"/>
        <s v="Gula Pasir Gulaku 1kg"/>
        <s v="Susu Ultra Milk 1L"/>
        <s v="Mie Sedaap Goreng"/>
        <s v="Coca Cola 390ml"/>
        <s v="Sabun Lifebuoy 85g"/>
        <s v="Royco Ayam 100g"/>
        <s v="Chitato Sapi Panggang 68g"/>
        <s v="Shampo Clear Sachet"/>
        <s v="Supermie Ayam Bawang"/>
        <s v="Pasta Gigi Pepsodent 190g"/>
      </sharedItems>
    </cacheField>
    <cacheField name="Category_Name" numFmtId="0">
      <sharedItems count="8">
        <s v="Sembako"/>
        <s v="Mie Instan"/>
        <s v="Minuman"/>
        <s v="Snack &amp; Makanan Ringan"/>
        <s v="Sabun &amp; Deterjen"/>
        <s v="Susu &amp; Dairy"/>
        <s v="Bumbu &amp; Penyedap"/>
        <s v="Perawatan Pribadi"/>
      </sharedItems>
    </cacheField>
    <cacheField name="Quantity_Sold" numFmtId="1">
      <sharedItems containsSemiMixedTypes="0" containsString="0" containsNumber="1" containsInteger="1" minValue="2" maxValue="36"/>
    </cacheField>
    <cacheField name="Unit_Price" numFmtId="164">
      <sharedItems containsSemiMixedTypes="0" containsString="0" containsNumber="1" containsInteger="1" minValue="2000" maxValue="65000"/>
    </cacheField>
    <cacheField name="Total_Amount" numFmtId="164">
      <sharedItems containsSemiMixedTypes="0" containsString="0" containsNumber="1" containsInteger="1" minValue="10000" maxValue="260000"/>
    </cacheField>
    <cacheField name="Supplier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"/>
    <d v="2025-09-02T00:00:00"/>
    <s v="Tuesday"/>
    <x v="0"/>
    <n v="1"/>
    <x v="0"/>
    <x v="0"/>
    <n v="3"/>
    <n v="65000"/>
    <n v="195000"/>
    <s v="PT test1"/>
  </r>
  <r>
    <n v="2"/>
    <d v="2025-09-03T00:00:00"/>
    <s v="Wednesday"/>
    <x v="0"/>
    <n v="16"/>
    <x v="1"/>
    <x v="1"/>
    <n v="10"/>
    <n v="3000"/>
    <n v="30000"/>
    <s v="PT test5"/>
  </r>
  <r>
    <n v="3"/>
    <d v="2025-09-03T00:00:00"/>
    <s v="Wednesday"/>
    <x v="0"/>
    <n v="6"/>
    <x v="2"/>
    <x v="2"/>
    <n v="12"/>
    <n v="3500"/>
    <n v="42000"/>
    <s v="PT test3"/>
  </r>
  <r>
    <n v="4"/>
    <d v="2025-09-05T00:00:00"/>
    <s v="Friday"/>
    <x v="0"/>
    <n v="7"/>
    <x v="3"/>
    <x v="2"/>
    <n v="6"/>
    <n v="4000"/>
    <n v="24000"/>
    <s v="PT test1"/>
  </r>
  <r>
    <n v="5"/>
    <d v="2025-09-05T00:00:00"/>
    <s v="Friday"/>
    <x v="0"/>
    <n v="14"/>
    <x v="4"/>
    <x v="3"/>
    <n v="5"/>
    <n v="2500"/>
    <n v="12500"/>
    <s v="PT test4"/>
  </r>
  <r>
    <n v="6"/>
    <d v="2025-10-01T00:00:00"/>
    <s v="Wednesday"/>
    <x v="1"/>
    <n v="1"/>
    <x v="0"/>
    <x v="0"/>
    <n v="2"/>
    <n v="65000"/>
    <n v="130000"/>
    <s v="PT test1"/>
  </r>
  <r>
    <n v="7"/>
    <d v="2025-10-02T00:00:00"/>
    <s v="Thursday"/>
    <x v="1"/>
    <n v="16"/>
    <x v="1"/>
    <x v="1"/>
    <n v="15"/>
    <n v="3000"/>
    <n v="45000"/>
    <s v="PT test5"/>
  </r>
  <r>
    <n v="8"/>
    <d v="2025-10-04T00:00:00"/>
    <s v="Saturday"/>
    <x v="1"/>
    <n v="6"/>
    <x v="2"/>
    <x v="2"/>
    <n v="24"/>
    <n v="3500"/>
    <n v="84000"/>
    <s v="PT test3"/>
  </r>
  <r>
    <n v="9"/>
    <d v="2025-10-05T00:00:00"/>
    <s v="Sunday"/>
    <x v="1"/>
    <n v="2"/>
    <x v="5"/>
    <x v="0"/>
    <n v="2"/>
    <n v="32000"/>
    <n v="64000"/>
    <s v="PT test1"/>
  </r>
  <r>
    <n v="10"/>
    <d v="2025-10-07T00:00:00"/>
    <s v="Tuesday"/>
    <x v="1"/>
    <n v="11"/>
    <x v="6"/>
    <x v="3"/>
    <n v="10"/>
    <n v="2500"/>
    <n v="25000"/>
    <s v="PT test4"/>
  </r>
  <r>
    <n v="11"/>
    <d v="2025-10-08T00:00:00"/>
    <s v="Wednesday"/>
    <x v="1"/>
    <n v="26"/>
    <x v="7"/>
    <x v="4"/>
    <n v="3"/>
    <n v="24000"/>
    <n v="72000"/>
    <s v="PT test3"/>
  </r>
  <r>
    <n v="12"/>
    <d v="2025-10-10T00:00:00"/>
    <s v="Friday"/>
    <x v="1"/>
    <n v="3"/>
    <x v="8"/>
    <x v="0"/>
    <n v="5"/>
    <n v="15000"/>
    <n v="75000"/>
    <s v="PT test1"/>
  </r>
  <r>
    <n v="13"/>
    <d v="2025-10-12T00:00:00"/>
    <s v="Sunday"/>
    <x v="1"/>
    <n v="21"/>
    <x v="9"/>
    <x v="5"/>
    <n v="8"/>
    <n v="18000"/>
    <n v="144000"/>
    <s v="PT test3"/>
  </r>
  <r>
    <n v="14"/>
    <d v="2025-10-15T00:00:00"/>
    <s v="Wednesday"/>
    <x v="1"/>
    <n v="7"/>
    <x v="3"/>
    <x v="2"/>
    <n v="12"/>
    <n v="4000"/>
    <n v="48000"/>
    <s v="PT test1"/>
  </r>
  <r>
    <n v="15"/>
    <d v="2025-11-01T00:00:00"/>
    <s v="Saturday"/>
    <x v="2"/>
    <n v="1"/>
    <x v="0"/>
    <x v="0"/>
    <n v="4"/>
    <n v="65000"/>
    <n v="260000"/>
    <s v="PT test1"/>
  </r>
  <r>
    <n v="16"/>
    <d v="2025-11-02T00:00:00"/>
    <s v="Sunday"/>
    <x v="2"/>
    <n v="16"/>
    <x v="1"/>
    <x v="1"/>
    <n v="20"/>
    <n v="3000"/>
    <n v="60000"/>
    <s v="PT test5"/>
  </r>
  <r>
    <n v="17"/>
    <d v="2025-11-03T00:00:00"/>
    <s v="Monday"/>
    <x v="2"/>
    <n v="17"/>
    <x v="10"/>
    <x v="1"/>
    <n v="15"/>
    <n v="3000"/>
    <n v="45000"/>
    <s v="PT test2"/>
  </r>
  <r>
    <n v="18"/>
    <d v="2025-11-04T00:00:00"/>
    <s v="Tuesday"/>
    <x v="2"/>
    <n v="6"/>
    <x v="2"/>
    <x v="2"/>
    <n v="36"/>
    <n v="3500"/>
    <n v="126000"/>
    <s v="PT test3"/>
  </r>
  <r>
    <n v="19"/>
    <d v="2025-11-05T00:00:00"/>
    <s v="Wednesday"/>
    <x v="2"/>
    <n v="14"/>
    <x v="4"/>
    <x v="3"/>
    <n v="12"/>
    <n v="2500"/>
    <n v="30000"/>
    <s v="PT test4"/>
  </r>
  <r>
    <n v="20"/>
    <d v="2025-11-06T00:00:00"/>
    <s v="Thursday"/>
    <x v="2"/>
    <n v="8"/>
    <x v="11"/>
    <x v="2"/>
    <n v="8"/>
    <n v="5500"/>
    <n v="44000"/>
    <s v="PT test1"/>
  </r>
  <r>
    <n v="21"/>
    <d v="2025-11-07T00:00:00"/>
    <s v="Friday"/>
    <x v="2"/>
    <n v="27"/>
    <x v="12"/>
    <x v="4"/>
    <n v="5"/>
    <n v="4500"/>
    <n v="22500"/>
    <s v="PT test3"/>
  </r>
  <r>
    <n v="22"/>
    <d v="2025-11-08T00:00:00"/>
    <s v="Saturday"/>
    <x v="2"/>
    <n v="24"/>
    <x v="13"/>
    <x v="6"/>
    <n v="4"/>
    <n v="9000"/>
    <n v="36000"/>
    <s v="PT test3"/>
  </r>
  <r>
    <n v="23"/>
    <d v="2025-11-09T00:00:00"/>
    <s v="Sunday"/>
    <x v="2"/>
    <n v="7"/>
    <x v="3"/>
    <x v="2"/>
    <n v="10"/>
    <n v="4000"/>
    <n v="40000"/>
    <s v="PT test1"/>
  </r>
  <r>
    <n v="24"/>
    <d v="2025-11-10T00:00:00"/>
    <s v="Monday"/>
    <x v="2"/>
    <n v="3"/>
    <x v="8"/>
    <x v="0"/>
    <n v="8"/>
    <n v="15000"/>
    <n v="120000"/>
    <s v="PT test1"/>
  </r>
  <r>
    <n v="25"/>
    <d v="2025-11-11T00:00:00"/>
    <s v="Tuesday"/>
    <x v="2"/>
    <n v="13"/>
    <x v="14"/>
    <x v="3"/>
    <n v="5"/>
    <n v="10500"/>
    <n v="52500"/>
    <s v="PT test5"/>
  </r>
  <r>
    <n v="26"/>
    <d v="2025-11-12T00:00:00"/>
    <s v="Wednesday"/>
    <x v="2"/>
    <n v="30"/>
    <x v="15"/>
    <x v="7"/>
    <n v="15"/>
    <n v="2000"/>
    <n v="30000"/>
    <s v="PT test3"/>
  </r>
  <r>
    <n v="27"/>
    <d v="2025-11-13T00:00:00"/>
    <s v="Thursday"/>
    <x v="2"/>
    <n v="19"/>
    <x v="16"/>
    <x v="1"/>
    <n v="4"/>
    <n v="2500"/>
    <n v="10000"/>
    <s v="PT test5"/>
  </r>
  <r>
    <n v="28"/>
    <d v="2025-11-14T00:00:00"/>
    <s v="Friday"/>
    <x v="2"/>
    <n v="21"/>
    <x v="9"/>
    <x v="5"/>
    <n v="6"/>
    <n v="18000"/>
    <n v="108000"/>
    <s v="PT test3"/>
  </r>
  <r>
    <n v="29"/>
    <d v="2025-11-15T00:00:00"/>
    <s v="Saturday"/>
    <x v="2"/>
    <n v="29"/>
    <x v="17"/>
    <x v="7"/>
    <n v="8"/>
    <n v="12000"/>
    <n v="96000"/>
    <s v="PT test3"/>
  </r>
  <r>
    <n v="30"/>
    <d v="2025-11-16T00:00:00"/>
    <s v="Sunday"/>
    <x v="2"/>
    <n v="16"/>
    <x v="1"/>
    <x v="1"/>
    <n v="25"/>
    <n v="3000"/>
    <n v="75000"/>
    <s v="PT test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2BEFD5-2FC5-45A9-9308-5BC1812C54DE}" name="PivotTable5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C12" firstHeaderRow="0" firstDataRow="1" firstDataCol="1"/>
  <pivotFields count="11"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9">
        <item x="5"/>
        <item x="3"/>
        <item x="0"/>
        <item x="4"/>
        <item x="7"/>
        <item x="2"/>
        <item x="1"/>
        <item x="6"/>
        <item t="default"/>
      </items>
    </pivotField>
    <pivotField numFmtId="1" showAll="0"/>
    <pivotField numFmtId="164" showAll="0"/>
    <pivotField dataField="1" numFmtId="164" showAll="0"/>
    <pivotField showAl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Amount" fld="9" baseField="0" baseItem="0" numFmtId="164"/>
    <dataField name="Percentage" fld="9" showDataAs="percentOfTotal" baseField="6" baseItem="0" numFmtId="1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FFAA7-1A1B-4F42-BA72-CC8F08337B59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7" firstHeaderRow="0" firstDataRow="1" firstDataCol="1"/>
  <pivotFields count="11">
    <pivotField showAll="0"/>
    <pivotField numFmtId="14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numFmtId="1" showAll="0"/>
    <pivotField numFmtId="164" showAll="0"/>
    <pivotField dataField="1" numFmtId="16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Amount" fld="9" baseField="3" baseItem="0" numFmtId="166"/>
    <dataField name="Sum of Quantity_Sold" fld="7" baseField="3" baseItem="0" numFmtId="1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A0959B-851C-4C22-A52E-EF437447A3C3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>
  <location ref="A3:C14" firstHeaderRow="0" firstDataRow="1" firstDataCol="1"/>
  <pivotFields count="11">
    <pivotField showAll="0"/>
    <pivotField numFmtId="14" showAll="0"/>
    <pivotField showAll="0"/>
    <pivotField showAll="0"/>
    <pivotField showAll="0"/>
    <pivotField axis="axisRow" showAll="0" measureFilter="1" sortType="descending">
      <items count="19">
        <item x="2"/>
        <item x="4"/>
        <item x="0"/>
        <item x="14"/>
        <item x="11"/>
        <item x="8"/>
        <item x="1"/>
        <item x="10"/>
        <item x="5"/>
        <item x="17"/>
        <item x="7"/>
        <item x="13"/>
        <item x="12"/>
        <item x="15"/>
        <item x="16"/>
        <item x="9"/>
        <item x="6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1" showAll="0"/>
    <pivotField numFmtId="164" showAll="0"/>
    <pivotField dataField="1" numFmtId="164" showAll="0"/>
    <pivotField showAll="0"/>
  </pivotFields>
  <rowFields count="1">
    <field x="5"/>
  </rowFields>
  <rowItems count="11">
    <i>
      <x/>
    </i>
    <i>
      <x v="6"/>
    </i>
    <i>
      <x v="17"/>
    </i>
    <i>
      <x v="1"/>
    </i>
    <i>
      <x v="13"/>
    </i>
    <i>
      <x v="7"/>
    </i>
    <i>
      <x v="15"/>
    </i>
    <i>
      <x v="5"/>
    </i>
    <i>
      <x v="16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_Sold" fld="7" baseField="5" baseItem="0" numFmtId="1"/>
    <dataField name="Sum of Total_Amount" fld="9" baseField="5" baseItem="0" numFmtId="166"/>
  </dataFields>
  <chartFormats count="2"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7B89D0-3473-4B05-A3FD-E44E188229E7}" autoFormatId="16" applyNumberFormats="0" applyBorderFormats="0" applyFontFormats="0" applyPatternFormats="0" applyAlignmentFormats="0" applyWidthHeightFormats="0">
  <queryTableRefresh nextId="14">
    <queryTableFields count="11">
      <queryTableField id="1" name="Sale_Id" tableColumnId="1"/>
      <queryTableField id="2" name="Sale_Date" tableColumnId="2"/>
      <queryTableField id="3" name="Weekday" tableColumnId="3"/>
      <queryTableField id="4" name="Month_Name" tableColumnId="4"/>
      <queryTableField id="7" name="Product_Id" tableColumnId="7"/>
      <queryTableField id="8" name="Product_Name" tableColumnId="8"/>
      <queryTableField id="9" name="Category_Name" tableColumnId="9"/>
      <queryTableField id="10" name="Quantity_Sold" tableColumnId="10"/>
      <queryTableField id="11" name="Unit_Price" tableColumnId="11"/>
      <queryTableField id="12" name="Total_Amount" tableColumnId="12"/>
      <queryTableField id="13" name="Supplier_Name" tableColumnId="13"/>
    </queryTableFields>
    <queryTableDeletedFields count="2">
      <deletedField name="Year"/>
      <deletedField name="Month_Num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9CBB96-29F7-4618-AB21-3160A9354D52}" name="data_sales__2" displayName="data_sales__2" ref="A1:K31" tableType="queryTable" totalsRowShown="0">
  <autoFilter ref="A1:K31" xr:uid="{839CBB96-29F7-4618-AB21-3160A9354D52}"/>
  <tableColumns count="11">
    <tableColumn id="1" xr3:uid="{31FE78E6-0054-4D58-BDEA-397AF32B0827}" uniqueName="1" name="Sale_Id" queryTableFieldId="1"/>
    <tableColumn id="2" xr3:uid="{FE9EF624-F0AD-418A-BEA7-57D925D4CD9A}" uniqueName="2" name="Sale_Date" queryTableFieldId="2" dataDxfId="8"/>
    <tableColumn id="3" xr3:uid="{BAA732AB-767B-4490-978C-782009BAC10A}" uniqueName="3" name="Weekday" queryTableFieldId="3" dataDxfId="7"/>
    <tableColumn id="4" xr3:uid="{C518AA6D-0ED5-49A1-BA83-FB93BD175363}" uniqueName="4" name="Month_Name" queryTableFieldId="4" dataDxfId="6"/>
    <tableColumn id="7" xr3:uid="{FCB189EE-31C1-4EBF-81AD-4C42FBD02BE5}" uniqueName="7" name="Product_Id" queryTableFieldId="7"/>
    <tableColumn id="8" xr3:uid="{0D854F48-A167-4756-946C-EED4B9C5BFDD}" uniqueName="8" name="Product_Name" queryTableFieldId="8" dataDxfId="5"/>
    <tableColumn id="9" xr3:uid="{FF1F0CE5-3C53-4E6E-BD9F-BC96652D0800}" uniqueName="9" name="Category_Name" queryTableFieldId="9" dataDxfId="4"/>
    <tableColumn id="10" xr3:uid="{1167A9A7-2AB5-41FF-8C4D-2F3BE7732FDD}" uniqueName="10" name="Quantity_Sold" queryTableFieldId="10" dataDxfId="3"/>
    <tableColumn id="11" xr3:uid="{1EA8F394-DB26-4109-A93A-36AE2EB4583D}" uniqueName="11" name="Unit_Price" queryTableFieldId="11" dataDxfId="2"/>
    <tableColumn id="12" xr3:uid="{1DE0B78B-CAEB-4196-8059-7F38AB215EFD}" uniqueName="12" name="Total_Amount" queryTableFieldId="12" dataDxfId="1"/>
    <tableColumn id="13" xr3:uid="{39836CBE-41E9-4F60-AC47-55A0B6F24E86}" uniqueName="13" name="Supplier_Name" queryTableFieldId="1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EAEAD-9404-4BDA-8033-B3E81220D466}">
  <dimension ref="A3:C12"/>
  <sheetViews>
    <sheetView topLeftCell="A10" workbookViewId="0">
      <selection activeCell="A4" sqref="A4:B11"/>
    </sheetView>
  </sheetViews>
  <sheetFormatPr defaultRowHeight="14.5" x14ac:dyDescent="0.35"/>
  <cols>
    <col min="1" max="1" width="21.08984375" bestFit="1" customWidth="1"/>
    <col min="2" max="2" width="18.6328125" bestFit="1" customWidth="1"/>
    <col min="3" max="3" width="10.1796875" bestFit="1" customWidth="1"/>
  </cols>
  <sheetData>
    <row r="3" spans="1:3" x14ac:dyDescent="0.35">
      <c r="A3" s="5" t="s">
        <v>42</v>
      </c>
      <c r="B3" t="s">
        <v>44</v>
      </c>
      <c r="C3" t="s">
        <v>45</v>
      </c>
    </row>
    <row r="4" spans="1:3" x14ac:dyDescent="0.35">
      <c r="A4" s="6" t="s">
        <v>30</v>
      </c>
      <c r="B4" s="4">
        <v>252000</v>
      </c>
      <c r="C4" s="7">
        <v>0.11745513866231648</v>
      </c>
    </row>
    <row r="5" spans="1:3" x14ac:dyDescent="0.35">
      <c r="A5" s="6" t="s">
        <v>22</v>
      </c>
      <c r="B5" s="4">
        <v>120000</v>
      </c>
      <c r="C5" s="7">
        <v>5.5931018410626893E-2</v>
      </c>
    </row>
    <row r="6" spans="1:3" x14ac:dyDescent="0.35">
      <c r="A6" s="6" t="s">
        <v>12</v>
      </c>
      <c r="B6" s="4">
        <v>844000</v>
      </c>
      <c r="C6" s="7">
        <v>0.39338149615474249</v>
      </c>
    </row>
    <row r="7" spans="1:3" x14ac:dyDescent="0.35">
      <c r="A7" s="6" t="s">
        <v>27</v>
      </c>
      <c r="B7" s="4">
        <v>94500</v>
      </c>
      <c r="C7" s="7">
        <v>4.4045676998368678E-2</v>
      </c>
    </row>
    <row r="8" spans="1:3" x14ac:dyDescent="0.35">
      <c r="A8" s="6" t="s">
        <v>39</v>
      </c>
      <c r="B8" s="4">
        <v>126000</v>
      </c>
      <c r="C8" s="7">
        <v>5.872756933115824E-2</v>
      </c>
    </row>
    <row r="9" spans="1:3" x14ac:dyDescent="0.35">
      <c r="A9" s="6" t="s">
        <v>18</v>
      </c>
      <c r="B9" s="4">
        <v>408000</v>
      </c>
      <c r="C9" s="7">
        <v>0.19016546259613143</v>
      </c>
    </row>
    <row r="10" spans="1:3" x14ac:dyDescent="0.35">
      <c r="A10" s="6" t="s">
        <v>15</v>
      </c>
      <c r="B10" s="4">
        <v>265000</v>
      </c>
      <c r="C10" s="7">
        <v>0.12351433232346773</v>
      </c>
    </row>
    <row r="11" spans="1:3" x14ac:dyDescent="0.35">
      <c r="A11" s="6" t="s">
        <v>36</v>
      </c>
      <c r="B11" s="4">
        <v>36000</v>
      </c>
      <c r="C11" s="7">
        <v>1.6779305523188067E-2</v>
      </c>
    </row>
    <row r="12" spans="1:3" x14ac:dyDescent="0.35">
      <c r="A12" s="6" t="s">
        <v>43</v>
      </c>
      <c r="B12" s="4">
        <v>2145500</v>
      </c>
      <c r="C12" s="7">
        <v>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8E4CD-FF61-4D60-89BD-A823360CC5C7}">
  <dimension ref="A3:C7"/>
  <sheetViews>
    <sheetView topLeftCell="A7" workbookViewId="0">
      <selection activeCell="E5" sqref="E5"/>
    </sheetView>
  </sheetViews>
  <sheetFormatPr defaultRowHeight="14.5" x14ac:dyDescent="0.35"/>
  <cols>
    <col min="1" max="1" width="12.453125" bestFit="1" customWidth="1"/>
    <col min="2" max="2" width="18.6328125" bestFit="1" customWidth="1"/>
    <col min="3" max="3" width="18.90625" bestFit="1" customWidth="1"/>
  </cols>
  <sheetData>
    <row r="3" spans="1:3" x14ac:dyDescent="0.35">
      <c r="A3" s="5" t="s">
        <v>42</v>
      </c>
      <c r="B3" t="s">
        <v>44</v>
      </c>
      <c r="C3" t="s">
        <v>49</v>
      </c>
    </row>
    <row r="4" spans="1:3" x14ac:dyDescent="0.35">
      <c r="A4" s="6" t="s">
        <v>46</v>
      </c>
      <c r="B4" s="8">
        <v>303500</v>
      </c>
      <c r="C4" s="3">
        <v>36</v>
      </c>
    </row>
    <row r="5" spans="1:3" x14ac:dyDescent="0.35">
      <c r="A5" s="6" t="s">
        <v>47</v>
      </c>
      <c r="B5" s="8">
        <v>687000</v>
      </c>
      <c r="C5" s="3">
        <v>81</v>
      </c>
    </row>
    <row r="6" spans="1:3" x14ac:dyDescent="0.35">
      <c r="A6" s="6" t="s">
        <v>48</v>
      </c>
      <c r="B6" s="8">
        <v>1155000</v>
      </c>
      <c r="C6" s="3">
        <v>185</v>
      </c>
    </row>
    <row r="7" spans="1:3" x14ac:dyDescent="0.35">
      <c r="A7" s="6" t="s">
        <v>43</v>
      </c>
      <c r="B7" s="8">
        <v>2145500</v>
      </c>
      <c r="C7" s="3">
        <v>302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90EB5-BB07-4526-AC2A-115F8A99C6F5}">
  <dimension ref="A3:C14"/>
  <sheetViews>
    <sheetView tabSelected="1" topLeftCell="A13" workbookViewId="0">
      <selection activeCell="A4" sqref="A4:B13"/>
    </sheetView>
  </sheetViews>
  <sheetFormatPr defaultRowHeight="14.5" x14ac:dyDescent="0.35"/>
  <cols>
    <col min="1" max="1" width="20.453125" bestFit="1" customWidth="1"/>
    <col min="2" max="2" width="18.90625" bestFit="1" customWidth="1"/>
    <col min="3" max="3" width="18.6328125" bestFit="1" customWidth="1"/>
  </cols>
  <sheetData>
    <row r="3" spans="1:3" x14ac:dyDescent="0.35">
      <c r="A3" s="5" t="s">
        <v>42</v>
      </c>
      <c r="B3" t="s">
        <v>49</v>
      </c>
      <c r="C3" t="s">
        <v>44</v>
      </c>
    </row>
    <row r="4" spans="1:3" x14ac:dyDescent="0.35">
      <c r="A4" s="6" t="s">
        <v>17</v>
      </c>
      <c r="B4" s="3">
        <v>72</v>
      </c>
      <c r="C4" s="8">
        <v>252000</v>
      </c>
    </row>
    <row r="5" spans="1:3" x14ac:dyDescent="0.35">
      <c r="A5" s="6" t="s">
        <v>14</v>
      </c>
      <c r="B5" s="3">
        <v>70</v>
      </c>
      <c r="C5" s="8">
        <v>210000</v>
      </c>
    </row>
    <row r="6" spans="1:3" x14ac:dyDescent="0.35">
      <c r="A6" s="6" t="s">
        <v>20</v>
      </c>
      <c r="B6" s="3">
        <v>28</v>
      </c>
      <c r="C6" s="8">
        <v>112000</v>
      </c>
    </row>
    <row r="7" spans="1:3" x14ac:dyDescent="0.35">
      <c r="A7" s="6" t="s">
        <v>21</v>
      </c>
      <c r="B7" s="3">
        <v>17</v>
      </c>
      <c r="C7" s="8">
        <v>42500</v>
      </c>
    </row>
    <row r="8" spans="1:3" x14ac:dyDescent="0.35">
      <c r="A8" s="6" t="s">
        <v>38</v>
      </c>
      <c r="B8" s="3">
        <v>15</v>
      </c>
      <c r="C8" s="8">
        <v>30000</v>
      </c>
    </row>
    <row r="9" spans="1:3" x14ac:dyDescent="0.35">
      <c r="A9" s="6" t="s">
        <v>31</v>
      </c>
      <c r="B9" s="3">
        <v>15</v>
      </c>
      <c r="C9" s="8">
        <v>45000</v>
      </c>
    </row>
    <row r="10" spans="1:3" x14ac:dyDescent="0.35">
      <c r="A10" s="6" t="s">
        <v>29</v>
      </c>
      <c r="B10" s="3">
        <v>14</v>
      </c>
      <c r="C10" s="8">
        <v>252000</v>
      </c>
    </row>
    <row r="11" spans="1:3" x14ac:dyDescent="0.35">
      <c r="A11" s="6" t="s">
        <v>28</v>
      </c>
      <c r="B11" s="3">
        <v>13</v>
      </c>
      <c r="C11" s="8">
        <v>195000</v>
      </c>
    </row>
    <row r="12" spans="1:3" x14ac:dyDescent="0.35">
      <c r="A12" s="6" t="s">
        <v>25</v>
      </c>
      <c r="B12" s="3">
        <v>10</v>
      </c>
      <c r="C12" s="8">
        <v>25000</v>
      </c>
    </row>
    <row r="13" spans="1:3" x14ac:dyDescent="0.35">
      <c r="A13" s="6" t="s">
        <v>11</v>
      </c>
      <c r="B13" s="3">
        <v>9</v>
      </c>
      <c r="C13" s="8">
        <v>585000</v>
      </c>
    </row>
    <row r="14" spans="1:3" x14ac:dyDescent="0.35">
      <c r="A14" s="6" t="s">
        <v>43</v>
      </c>
      <c r="B14" s="3">
        <v>263</v>
      </c>
      <c r="C14" s="8">
        <v>1748500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C3CF1-592E-4430-8E08-E8BA5CA46273}">
  <dimension ref="A1:K31"/>
  <sheetViews>
    <sheetView topLeftCell="A2" workbookViewId="0">
      <selection activeCell="B3" sqref="A2:K31"/>
    </sheetView>
  </sheetViews>
  <sheetFormatPr defaultRowHeight="14.5" x14ac:dyDescent="0.35"/>
  <cols>
    <col min="1" max="1" width="9.1796875" bestFit="1" customWidth="1"/>
    <col min="2" max="2" width="14.6328125" customWidth="1"/>
    <col min="3" max="3" width="10.7265625" bestFit="1" customWidth="1"/>
    <col min="4" max="4" width="14.08984375" bestFit="1" customWidth="1"/>
    <col min="5" max="5" width="13.1796875" bestFit="1" customWidth="1"/>
    <col min="6" max="6" width="12.08984375" bestFit="1" customWidth="1"/>
    <col min="7" max="7" width="22.453125" bestFit="1" customWidth="1"/>
    <col min="8" max="8" width="21.08984375" bestFit="1" customWidth="1"/>
    <col min="9" max="9" width="14.81640625" bestFit="1" customWidth="1"/>
    <col min="10" max="10" width="13.36328125" bestFit="1" customWidth="1"/>
    <col min="11" max="11" width="14.54296875" bestFit="1" customWidth="1"/>
    <col min="12" max="12" width="16" bestFit="1" customWidth="1"/>
  </cols>
  <sheetData>
    <row r="1" spans="1:11" x14ac:dyDescent="0.35">
      <c r="A1" t="s">
        <v>0</v>
      </c>
      <c r="B1" s="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</row>
    <row r="2" spans="1:11" x14ac:dyDescent="0.35">
      <c r="A2">
        <v>1</v>
      </c>
      <c r="B2" s="1">
        <v>45902</v>
      </c>
      <c r="C2" t="str">
        <f>TEXT(B2,"dddd")</f>
        <v>Tuesday</v>
      </c>
      <c r="D2" t="str">
        <f>TEXT(B2,"mmmm")</f>
        <v>September</v>
      </c>
      <c r="E2">
        <v>1</v>
      </c>
      <c r="F2" t="s">
        <v>11</v>
      </c>
      <c r="G2" t="s">
        <v>12</v>
      </c>
      <c r="H2" s="3">
        <v>3</v>
      </c>
      <c r="I2" s="4">
        <v>65000</v>
      </c>
      <c r="J2" s="4">
        <v>195000</v>
      </c>
      <c r="K2" t="s">
        <v>13</v>
      </c>
    </row>
    <row r="3" spans="1:11" x14ac:dyDescent="0.35">
      <c r="A3">
        <v>2</v>
      </c>
      <c r="B3" s="1">
        <v>45903</v>
      </c>
      <c r="C3" t="str">
        <f t="shared" ref="C3:C31" si="0">TEXT(B3,"dddd")</f>
        <v>Wednesday</v>
      </c>
      <c r="D3" t="str">
        <f t="shared" ref="D3:D31" si="1">TEXT(B3,"mmmm")</f>
        <v>September</v>
      </c>
      <c r="E3">
        <v>16</v>
      </c>
      <c r="F3" t="s">
        <v>14</v>
      </c>
      <c r="G3" t="s">
        <v>15</v>
      </c>
      <c r="H3" s="3">
        <v>10</v>
      </c>
      <c r="I3" s="4">
        <v>3000</v>
      </c>
      <c r="J3" s="4">
        <v>30000</v>
      </c>
      <c r="K3" t="s">
        <v>16</v>
      </c>
    </row>
    <row r="4" spans="1:11" x14ac:dyDescent="0.35">
      <c r="A4">
        <v>3</v>
      </c>
      <c r="B4" s="1">
        <v>45903</v>
      </c>
      <c r="C4" t="str">
        <f t="shared" si="0"/>
        <v>Wednesday</v>
      </c>
      <c r="D4" t="str">
        <f t="shared" si="1"/>
        <v>September</v>
      </c>
      <c r="E4">
        <v>6</v>
      </c>
      <c r="F4" t="s">
        <v>17</v>
      </c>
      <c r="G4" t="s">
        <v>18</v>
      </c>
      <c r="H4" s="3">
        <v>12</v>
      </c>
      <c r="I4" s="4">
        <v>3500</v>
      </c>
      <c r="J4" s="4">
        <v>42000</v>
      </c>
      <c r="K4" t="s">
        <v>19</v>
      </c>
    </row>
    <row r="5" spans="1:11" x14ac:dyDescent="0.35">
      <c r="A5">
        <v>4</v>
      </c>
      <c r="B5" s="1">
        <v>45905</v>
      </c>
      <c r="C5" t="str">
        <f t="shared" si="0"/>
        <v>Friday</v>
      </c>
      <c r="D5" t="str">
        <f t="shared" si="1"/>
        <v>September</v>
      </c>
      <c r="E5">
        <v>7</v>
      </c>
      <c r="F5" t="s">
        <v>20</v>
      </c>
      <c r="G5" t="s">
        <v>18</v>
      </c>
      <c r="H5" s="3">
        <v>6</v>
      </c>
      <c r="I5" s="4">
        <v>4000</v>
      </c>
      <c r="J5" s="4">
        <v>24000</v>
      </c>
      <c r="K5" t="s">
        <v>13</v>
      </c>
    </row>
    <row r="6" spans="1:11" x14ac:dyDescent="0.35">
      <c r="A6">
        <v>5</v>
      </c>
      <c r="B6" s="1">
        <v>45905</v>
      </c>
      <c r="C6" t="str">
        <f t="shared" si="0"/>
        <v>Friday</v>
      </c>
      <c r="D6" t="str">
        <f t="shared" si="1"/>
        <v>September</v>
      </c>
      <c r="E6">
        <v>14</v>
      </c>
      <c r="F6" t="s">
        <v>21</v>
      </c>
      <c r="G6" t="s">
        <v>22</v>
      </c>
      <c r="H6" s="3">
        <v>5</v>
      </c>
      <c r="I6" s="4">
        <v>2500</v>
      </c>
      <c r="J6" s="4">
        <v>12500</v>
      </c>
      <c r="K6" t="s">
        <v>23</v>
      </c>
    </row>
    <row r="7" spans="1:11" x14ac:dyDescent="0.35">
      <c r="A7">
        <v>6</v>
      </c>
      <c r="B7" s="1">
        <v>45931</v>
      </c>
      <c r="C7" t="str">
        <f t="shared" si="0"/>
        <v>Wednesday</v>
      </c>
      <c r="D7" t="str">
        <f t="shared" si="1"/>
        <v>October</v>
      </c>
      <c r="E7">
        <v>1</v>
      </c>
      <c r="F7" t="s">
        <v>11</v>
      </c>
      <c r="G7" t="s">
        <v>12</v>
      </c>
      <c r="H7" s="3">
        <v>2</v>
      </c>
      <c r="I7" s="4">
        <v>65000</v>
      </c>
      <c r="J7" s="4">
        <v>130000</v>
      </c>
      <c r="K7" t="s">
        <v>13</v>
      </c>
    </row>
    <row r="8" spans="1:11" x14ac:dyDescent="0.35">
      <c r="A8">
        <v>7</v>
      </c>
      <c r="B8" s="1">
        <v>45932</v>
      </c>
      <c r="C8" t="str">
        <f t="shared" si="0"/>
        <v>Thursday</v>
      </c>
      <c r="D8" t="str">
        <f t="shared" si="1"/>
        <v>October</v>
      </c>
      <c r="E8">
        <v>16</v>
      </c>
      <c r="F8" t="s">
        <v>14</v>
      </c>
      <c r="G8" t="s">
        <v>15</v>
      </c>
      <c r="H8" s="3">
        <v>15</v>
      </c>
      <c r="I8" s="4">
        <v>3000</v>
      </c>
      <c r="J8" s="4">
        <v>45000</v>
      </c>
      <c r="K8" t="s">
        <v>16</v>
      </c>
    </row>
    <row r="9" spans="1:11" x14ac:dyDescent="0.35">
      <c r="A9">
        <v>8</v>
      </c>
      <c r="B9" s="1">
        <v>45934</v>
      </c>
      <c r="C9" t="str">
        <f t="shared" si="0"/>
        <v>Saturday</v>
      </c>
      <c r="D9" t="str">
        <f t="shared" si="1"/>
        <v>October</v>
      </c>
      <c r="E9">
        <v>6</v>
      </c>
      <c r="F9" t="s">
        <v>17</v>
      </c>
      <c r="G9" t="s">
        <v>18</v>
      </c>
      <c r="H9" s="3">
        <v>24</v>
      </c>
      <c r="I9" s="4">
        <v>3500</v>
      </c>
      <c r="J9" s="4">
        <v>84000</v>
      </c>
      <c r="K9" t="s">
        <v>19</v>
      </c>
    </row>
    <row r="10" spans="1:11" x14ac:dyDescent="0.35">
      <c r="A10">
        <v>9</v>
      </c>
      <c r="B10" s="1">
        <v>45935</v>
      </c>
      <c r="C10" t="str">
        <f t="shared" si="0"/>
        <v>Sunday</v>
      </c>
      <c r="D10" t="str">
        <f t="shared" si="1"/>
        <v>October</v>
      </c>
      <c r="E10">
        <v>2</v>
      </c>
      <c r="F10" t="s">
        <v>24</v>
      </c>
      <c r="G10" t="s">
        <v>12</v>
      </c>
      <c r="H10" s="3">
        <v>2</v>
      </c>
      <c r="I10" s="4">
        <v>32000</v>
      </c>
      <c r="J10" s="4">
        <v>64000</v>
      </c>
      <c r="K10" t="s">
        <v>13</v>
      </c>
    </row>
    <row r="11" spans="1:11" x14ac:dyDescent="0.35">
      <c r="A11">
        <v>10</v>
      </c>
      <c r="B11" s="1">
        <v>45937</v>
      </c>
      <c r="C11" t="str">
        <f t="shared" si="0"/>
        <v>Tuesday</v>
      </c>
      <c r="D11" t="str">
        <f t="shared" si="1"/>
        <v>October</v>
      </c>
      <c r="E11">
        <v>11</v>
      </c>
      <c r="F11" t="s">
        <v>25</v>
      </c>
      <c r="G11" t="s">
        <v>22</v>
      </c>
      <c r="H11" s="3">
        <v>10</v>
      </c>
      <c r="I11" s="4">
        <v>2500</v>
      </c>
      <c r="J11" s="4">
        <v>25000</v>
      </c>
      <c r="K11" t="s">
        <v>23</v>
      </c>
    </row>
    <row r="12" spans="1:11" x14ac:dyDescent="0.35">
      <c r="A12">
        <v>11</v>
      </c>
      <c r="B12" s="1">
        <v>45938</v>
      </c>
      <c r="C12" t="str">
        <f t="shared" si="0"/>
        <v>Wednesday</v>
      </c>
      <c r="D12" t="str">
        <f t="shared" si="1"/>
        <v>October</v>
      </c>
      <c r="E12">
        <v>26</v>
      </c>
      <c r="F12" t="s">
        <v>26</v>
      </c>
      <c r="G12" t="s">
        <v>27</v>
      </c>
      <c r="H12" s="3">
        <v>3</v>
      </c>
      <c r="I12" s="4">
        <v>24000</v>
      </c>
      <c r="J12" s="4">
        <v>72000</v>
      </c>
      <c r="K12" t="s">
        <v>19</v>
      </c>
    </row>
    <row r="13" spans="1:11" x14ac:dyDescent="0.35">
      <c r="A13">
        <v>12</v>
      </c>
      <c r="B13" s="1">
        <v>45940</v>
      </c>
      <c r="C13" t="str">
        <f t="shared" si="0"/>
        <v>Friday</v>
      </c>
      <c r="D13" t="str">
        <f t="shared" si="1"/>
        <v>October</v>
      </c>
      <c r="E13">
        <v>3</v>
      </c>
      <c r="F13" t="s">
        <v>28</v>
      </c>
      <c r="G13" t="s">
        <v>12</v>
      </c>
      <c r="H13" s="3">
        <v>5</v>
      </c>
      <c r="I13" s="4">
        <v>15000</v>
      </c>
      <c r="J13" s="4">
        <v>75000</v>
      </c>
      <c r="K13" t="s">
        <v>13</v>
      </c>
    </row>
    <row r="14" spans="1:11" x14ac:dyDescent="0.35">
      <c r="A14">
        <v>13</v>
      </c>
      <c r="B14" s="1">
        <v>45942</v>
      </c>
      <c r="C14" t="str">
        <f t="shared" si="0"/>
        <v>Sunday</v>
      </c>
      <c r="D14" t="str">
        <f t="shared" si="1"/>
        <v>October</v>
      </c>
      <c r="E14">
        <v>21</v>
      </c>
      <c r="F14" t="s">
        <v>29</v>
      </c>
      <c r="G14" t="s">
        <v>30</v>
      </c>
      <c r="H14" s="3">
        <v>8</v>
      </c>
      <c r="I14" s="4">
        <v>18000</v>
      </c>
      <c r="J14" s="4">
        <v>144000</v>
      </c>
      <c r="K14" t="s">
        <v>19</v>
      </c>
    </row>
    <row r="15" spans="1:11" x14ac:dyDescent="0.35">
      <c r="A15">
        <v>14</v>
      </c>
      <c r="B15" s="1">
        <v>45945</v>
      </c>
      <c r="C15" t="str">
        <f t="shared" si="0"/>
        <v>Wednesday</v>
      </c>
      <c r="D15" t="str">
        <f t="shared" si="1"/>
        <v>October</v>
      </c>
      <c r="E15">
        <v>7</v>
      </c>
      <c r="F15" t="s">
        <v>20</v>
      </c>
      <c r="G15" t="s">
        <v>18</v>
      </c>
      <c r="H15" s="3">
        <v>12</v>
      </c>
      <c r="I15" s="4">
        <v>4000</v>
      </c>
      <c r="J15" s="4">
        <v>48000</v>
      </c>
      <c r="K15" t="s">
        <v>13</v>
      </c>
    </row>
    <row r="16" spans="1:11" x14ac:dyDescent="0.35">
      <c r="A16">
        <v>15</v>
      </c>
      <c r="B16" s="1">
        <v>45962</v>
      </c>
      <c r="C16" t="str">
        <f t="shared" si="0"/>
        <v>Saturday</v>
      </c>
      <c r="D16" t="str">
        <f t="shared" si="1"/>
        <v>November</v>
      </c>
      <c r="E16">
        <v>1</v>
      </c>
      <c r="F16" t="s">
        <v>11</v>
      </c>
      <c r="G16" t="s">
        <v>12</v>
      </c>
      <c r="H16" s="3">
        <v>4</v>
      </c>
      <c r="I16" s="4">
        <v>65000</v>
      </c>
      <c r="J16" s="4">
        <v>260000</v>
      </c>
      <c r="K16" t="s">
        <v>13</v>
      </c>
    </row>
    <row r="17" spans="1:11" x14ac:dyDescent="0.35">
      <c r="A17">
        <v>16</v>
      </c>
      <c r="B17" s="1">
        <v>45963</v>
      </c>
      <c r="C17" t="str">
        <f t="shared" si="0"/>
        <v>Sunday</v>
      </c>
      <c r="D17" t="str">
        <f t="shared" si="1"/>
        <v>November</v>
      </c>
      <c r="E17">
        <v>16</v>
      </c>
      <c r="F17" t="s">
        <v>14</v>
      </c>
      <c r="G17" t="s">
        <v>15</v>
      </c>
      <c r="H17" s="3">
        <v>20</v>
      </c>
      <c r="I17" s="4">
        <v>3000</v>
      </c>
      <c r="J17" s="4">
        <v>60000</v>
      </c>
      <c r="K17" t="s">
        <v>16</v>
      </c>
    </row>
    <row r="18" spans="1:11" x14ac:dyDescent="0.35">
      <c r="A18">
        <v>17</v>
      </c>
      <c r="B18" s="1">
        <v>45964</v>
      </c>
      <c r="C18" t="str">
        <f t="shared" si="0"/>
        <v>Monday</v>
      </c>
      <c r="D18" t="str">
        <f t="shared" si="1"/>
        <v>November</v>
      </c>
      <c r="E18">
        <v>17</v>
      </c>
      <c r="F18" t="s">
        <v>31</v>
      </c>
      <c r="G18" t="s">
        <v>15</v>
      </c>
      <c r="H18" s="3">
        <v>15</v>
      </c>
      <c r="I18" s="4">
        <v>3000</v>
      </c>
      <c r="J18" s="4">
        <v>45000</v>
      </c>
      <c r="K18" t="s">
        <v>32</v>
      </c>
    </row>
    <row r="19" spans="1:11" x14ac:dyDescent="0.35">
      <c r="A19">
        <v>18</v>
      </c>
      <c r="B19" s="1">
        <v>45965</v>
      </c>
      <c r="C19" t="str">
        <f t="shared" si="0"/>
        <v>Tuesday</v>
      </c>
      <c r="D19" t="str">
        <f t="shared" si="1"/>
        <v>November</v>
      </c>
      <c r="E19">
        <v>6</v>
      </c>
      <c r="F19" t="s">
        <v>17</v>
      </c>
      <c r="G19" t="s">
        <v>18</v>
      </c>
      <c r="H19" s="3">
        <v>36</v>
      </c>
      <c r="I19" s="4">
        <v>3500</v>
      </c>
      <c r="J19" s="4">
        <v>126000</v>
      </c>
      <c r="K19" t="s">
        <v>19</v>
      </c>
    </row>
    <row r="20" spans="1:11" x14ac:dyDescent="0.35">
      <c r="A20">
        <v>19</v>
      </c>
      <c r="B20" s="1">
        <v>45966</v>
      </c>
      <c r="C20" t="str">
        <f t="shared" si="0"/>
        <v>Wednesday</v>
      </c>
      <c r="D20" t="str">
        <f t="shared" si="1"/>
        <v>November</v>
      </c>
      <c r="E20">
        <v>14</v>
      </c>
      <c r="F20" t="s">
        <v>21</v>
      </c>
      <c r="G20" t="s">
        <v>22</v>
      </c>
      <c r="H20" s="3">
        <v>12</v>
      </c>
      <c r="I20" s="4">
        <v>2500</v>
      </c>
      <c r="J20" s="4">
        <v>30000</v>
      </c>
      <c r="K20" t="s">
        <v>23</v>
      </c>
    </row>
    <row r="21" spans="1:11" x14ac:dyDescent="0.35">
      <c r="A21">
        <v>20</v>
      </c>
      <c r="B21" s="1">
        <v>45967</v>
      </c>
      <c r="C21" t="str">
        <f t="shared" si="0"/>
        <v>Thursday</v>
      </c>
      <c r="D21" t="str">
        <f t="shared" si="1"/>
        <v>November</v>
      </c>
      <c r="E21">
        <v>8</v>
      </c>
      <c r="F21" t="s">
        <v>33</v>
      </c>
      <c r="G21" t="s">
        <v>18</v>
      </c>
      <c r="H21" s="3">
        <v>8</v>
      </c>
      <c r="I21" s="4">
        <v>5500</v>
      </c>
      <c r="J21" s="4">
        <v>44000</v>
      </c>
      <c r="K21" t="s">
        <v>13</v>
      </c>
    </row>
    <row r="22" spans="1:11" x14ac:dyDescent="0.35">
      <c r="A22">
        <v>21</v>
      </c>
      <c r="B22" s="1">
        <v>45968</v>
      </c>
      <c r="C22" t="str">
        <f t="shared" si="0"/>
        <v>Friday</v>
      </c>
      <c r="D22" t="str">
        <f t="shared" si="1"/>
        <v>November</v>
      </c>
      <c r="E22">
        <v>27</v>
      </c>
      <c r="F22" t="s">
        <v>34</v>
      </c>
      <c r="G22" t="s">
        <v>27</v>
      </c>
      <c r="H22" s="3">
        <v>5</v>
      </c>
      <c r="I22" s="4">
        <v>4500</v>
      </c>
      <c r="J22" s="4">
        <v>22500</v>
      </c>
      <c r="K22" t="s">
        <v>19</v>
      </c>
    </row>
    <row r="23" spans="1:11" x14ac:dyDescent="0.35">
      <c r="A23">
        <v>22</v>
      </c>
      <c r="B23" s="1">
        <v>45969</v>
      </c>
      <c r="C23" t="str">
        <f t="shared" si="0"/>
        <v>Saturday</v>
      </c>
      <c r="D23" t="str">
        <f t="shared" si="1"/>
        <v>November</v>
      </c>
      <c r="E23">
        <v>24</v>
      </c>
      <c r="F23" t="s">
        <v>35</v>
      </c>
      <c r="G23" t="s">
        <v>36</v>
      </c>
      <c r="H23" s="3">
        <v>4</v>
      </c>
      <c r="I23" s="4">
        <v>9000</v>
      </c>
      <c r="J23" s="4">
        <v>36000</v>
      </c>
      <c r="K23" t="s">
        <v>19</v>
      </c>
    </row>
    <row r="24" spans="1:11" x14ac:dyDescent="0.35">
      <c r="A24">
        <v>23</v>
      </c>
      <c r="B24" s="1">
        <v>45970</v>
      </c>
      <c r="C24" t="str">
        <f t="shared" si="0"/>
        <v>Sunday</v>
      </c>
      <c r="D24" t="str">
        <f t="shared" si="1"/>
        <v>November</v>
      </c>
      <c r="E24">
        <v>7</v>
      </c>
      <c r="F24" t="s">
        <v>20</v>
      </c>
      <c r="G24" t="s">
        <v>18</v>
      </c>
      <c r="H24" s="3">
        <v>10</v>
      </c>
      <c r="I24" s="4">
        <v>4000</v>
      </c>
      <c r="J24" s="4">
        <v>40000</v>
      </c>
      <c r="K24" t="s">
        <v>13</v>
      </c>
    </row>
    <row r="25" spans="1:11" x14ac:dyDescent="0.35">
      <c r="A25">
        <v>24</v>
      </c>
      <c r="B25" s="1">
        <v>45971</v>
      </c>
      <c r="C25" t="str">
        <f t="shared" si="0"/>
        <v>Monday</v>
      </c>
      <c r="D25" t="str">
        <f t="shared" si="1"/>
        <v>November</v>
      </c>
      <c r="E25">
        <v>3</v>
      </c>
      <c r="F25" t="s">
        <v>28</v>
      </c>
      <c r="G25" t="s">
        <v>12</v>
      </c>
      <c r="H25" s="3">
        <v>8</v>
      </c>
      <c r="I25" s="4">
        <v>15000</v>
      </c>
      <c r="J25" s="4">
        <v>120000</v>
      </c>
      <c r="K25" t="s">
        <v>13</v>
      </c>
    </row>
    <row r="26" spans="1:11" x14ac:dyDescent="0.35">
      <c r="A26">
        <v>25</v>
      </c>
      <c r="B26" s="1">
        <v>45972</v>
      </c>
      <c r="C26" t="str">
        <f t="shared" si="0"/>
        <v>Tuesday</v>
      </c>
      <c r="D26" t="str">
        <f t="shared" si="1"/>
        <v>November</v>
      </c>
      <c r="E26">
        <v>13</v>
      </c>
      <c r="F26" t="s">
        <v>37</v>
      </c>
      <c r="G26" t="s">
        <v>22</v>
      </c>
      <c r="H26" s="3">
        <v>5</v>
      </c>
      <c r="I26" s="4">
        <v>10500</v>
      </c>
      <c r="J26" s="4">
        <v>52500</v>
      </c>
      <c r="K26" t="s">
        <v>16</v>
      </c>
    </row>
    <row r="27" spans="1:11" x14ac:dyDescent="0.35">
      <c r="A27">
        <v>26</v>
      </c>
      <c r="B27" s="1">
        <v>45973</v>
      </c>
      <c r="C27" t="str">
        <f t="shared" si="0"/>
        <v>Wednesday</v>
      </c>
      <c r="D27" t="str">
        <f t="shared" si="1"/>
        <v>November</v>
      </c>
      <c r="E27">
        <v>30</v>
      </c>
      <c r="F27" t="s">
        <v>38</v>
      </c>
      <c r="G27" t="s">
        <v>39</v>
      </c>
      <c r="H27" s="3">
        <v>15</v>
      </c>
      <c r="I27" s="4">
        <v>2000</v>
      </c>
      <c r="J27" s="4">
        <v>30000</v>
      </c>
      <c r="K27" t="s">
        <v>19</v>
      </c>
    </row>
    <row r="28" spans="1:11" x14ac:dyDescent="0.35">
      <c r="A28">
        <v>27</v>
      </c>
      <c r="B28" s="1">
        <v>45974</v>
      </c>
      <c r="C28" t="str">
        <f t="shared" si="0"/>
        <v>Thursday</v>
      </c>
      <c r="D28" t="str">
        <f t="shared" si="1"/>
        <v>November</v>
      </c>
      <c r="E28">
        <v>19</v>
      </c>
      <c r="F28" t="s">
        <v>40</v>
      </c>
      <c r="G28" t="s">
        <v>15</v>
      </c>
      <c r="H28" s="3">
        <v>4</v>
      </c>
      <c r="I28" s="4">
        <v>2500</v>
      </c>
      <c r="J28" s="4">
        <v>10000</v>
      </c>
      <c r="K28" t="s">
        <v>16</v>
      </c>
    </row>
    <row r="29" spans="1:11" x14ac:dyDescent="0.35">
      <c r="A29">
        <v>28</v>
      </c>
      <c r="B29" s="1">
        <v>45975</v>
      </c>
      <c r="C29" t="str">
        <f t="shared" si="0"/>
        <v>Friday</v>
      </c>
      <c r="D29" t="str">
        <f t="shared" si="1"/>
        <v>November</v>
      </c>
      <c r="E29">
        <v>21</v>
      </c>
      <c r="F29" t="s">
        <v>29</v>
      </c>
      <c r="G29" t="s">
        <v>30</v>
      </c>
      <c r="H29" s="3">
        <v>6</v>
      </c>
      <c r="I29" s="4">
        <v>18000</v>
      </c>
      <c r="J29" s="4">
        <v>108000</v>
      </c>
      <c r="K29" t="s">
        <v>19</v>
      </c>
    </row>
    <row r="30" spans="1:11" x14ac:dyDescent="0.35">
      <c r="A30">
        <v>29</v>
      </c>
      <c r="B30" s="1">
        <v>45976</v>
      </c>
      <c r="C30" t="str">
        <f t="shared" si="0"/>
        <v>Saturday</v>
      </c>
      <c r="D30" t="str">
        <f t="shared" si="1"/>
        <v>November</v>
      </c>
      <c r="E30">
        <v>29</v>
      </c>
      <c r="F30" t="s">
        <v>41</v>
      </c>
      <c r="G30" t="s">
        <v>39</v>
      </c>
      <c r="H30" s="3">
        <v>8</v>
      </c>
      <c r="I30" s="4">
        <v>12000</v>
      </c>
      <c r="J30" s="4">
        <v>96000</v>
      </c>
      <c r="K30" t="s">
        <v>19</v>
      </c>
    </row>
    <row r="31" spans="1:11" x14ac:dyDescent="0.35">
      <c r="A31">
        <v>30</v>
      </c>
      <c r="B31" s="1">
        <v>45977</v>
      </c>
      <c r="C31" t="str">
        <f t="shared" si="0"/>
        <v>Sunday</v>
      </c>
      <c r="D31" t="str">
        <f t="shared" si="1"/>
        <v>November</v>
      </c>
      <c r="E31">
        <v>16</v>
      </c>
      <c r="F31" t="s">
        <v>14</v>
      </c>
      <c r="G31" t="s">
        <v>15</v>
      </c>
      <c r="H31" s="3">
        <v>25</v>
      </c>
      <c r="I31" s="4">
        <v>3000</v>
      </c>
      <c r="J31" s="4">
        <v>75000</v>
      </c>
      <c r="K31" t="s">
        <v>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F44A4D-FA62-4E04-8D4E-53CA8E7A04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Pivot_Category</vt:lpstr>
      <vt:lpstr>Pivot_Monthly</vt:lpstr>
      <vt:lpstr>Pivot_Top10</vt:lpstr>
      <vt:lpstr>data_sales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Dimas fajar</dc:creator>
  <cp:lastModifiedBy>Dimas fajar</cp:lastModifiedBy>
  <dcterms:created xsi:type="dcterms:W3CDTF">2025-11-19T06:52:00Z</dcterms:created>
  <dcterms:modified xsi:type="dcterms:W3CDTF">2025-11-19T07:57:22Z</dcterms:modified>
</cp:coreProperties>
</file>